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490eefd3fd8c062/Desktop/"/>
    </mc:Choice>
  </mc:AlternateContent>
  <xr:revisionPtr revIDLastSave="11" documentId="11_AD4DB114E441178AC67DF42F2612DD96693EDF25" xr6:coauthVersionLast="47" xr6:coauthVersionMax="47" xr10:uidLastSave="{05117B47-C91A-4419-8677-F7F9F77BCD96}"/>
  <bookViews>
    <workbookView xWindow="3885" yWindow="555" windowWidth="16200" windowHeight="9848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0" i="1" l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C30" i="1"/>
  <c r="D29" i="1"/>
  <c r="E29" i="1" s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D5" i="1"/>
  <c r="D30" i="1" s="1"/>
  <c r="E4" i="1"/>
  <c r="E5" i="1" l="1"/>
  <c r="E30" i="1" s="1"/>
</calcChain>
</file>

<file path=xl/sharedStrings.xml><?xml version="1.0" encoding="utf-8"?>
<sst xmlns="http://schemas.openxmlformats.org/spreadsheetml/2006/main" count="64" uniqueCount="40">
  <si>
    <t>Expenses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</si>
  <si>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</si>
  <si>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</si>
  <si>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</si>
  <si>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</si>
  <si>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</si>
  <si>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</si>
  <si>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</si>
  <si>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</si>
  <si>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</si>
  <si>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Budget</t>
  </si>
  <si>
    <t>Spent</t>
  </si>
  <si>
    <t>Rent</t>
  </si>
  <si>
    <t>Food</t>
  </si>
  <si>
    <t>Insurance</t>
  </si>
  <si>
    <t>ARD, ZDF</t>
  </si>
  <si>
    <t>Netflix</t>
  </si>
  <si>
    <t>Telekom Iphone</t>
  </si>
  <si>
    <t>Teekom. WiFi</t>
  </si>
  <si>
    <t>S10 Ult Tab Amazon</t>
  </si>
  <si>
    <t>Book 5 Amazon</t>
  </si>
  <si>
    <t>Viki</t>
  </si>
  <si>
    <t>Claude</t>
  </si>
  <si>
    <t>Gemini</t>
  </si>
  <si>
    <t>YT Premium A</t>
  </si>
  <si>
    <t>YT Premium B</t>
  </si>
  <si>
    <t>YT Subscription</t>
  </si>
  <si>
    <t>VGN Ticket</t>
  </si>
  <si>
    <t>Haircut</t>
  </si>
  <si>
    <t>Sim Card Abi</t>
  </si>
  <si>
    <t>Sim Card Brigi</t>
  </si>
  <si>
    <t>Amazon Prime</t>
  </si>
  <si>
    <t>Airtel</t>
  </si>
  <si>
    <t>ICICI</t>
  </si>
  <si>
    <t>OTTO Bed</t>
  </si>
  <si>
    <t>Amazon Jeans</t>
  </si>
  <si>
    <t xml:space="preserve">Amazon </t>
  </si>
  <si>
    <t>Misc.</t>
  </si>
  <si>
    <t>SUM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</si>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</sst>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4" x14ac:knownFonts="1">
    <font>
      <sz val="11"/>
      <color theme="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color theme="5" tint="-0.499984740745262"/>
      <name val="Aptos Narrow"/>
      <family val="2"/>
    </font>
    <font>
      <sz val="11"/>
      <color theme="5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0" borderId="14" xfId="0" applyFont="1" applyBorder="1"/>
    <xf numFmtId="164" fontId="3" fillId="0" borderId="15" xfId="0" applyNumberFormat="1" applyFont="1" applyBorder="1"/>
    <xf numFmtId="164" fontId="3" fillId="0" borderId="6" xfId="0" applyNumberFormat="1" applyFont="1" applyBorder="1"/>
    <xf numFmtId="164" fontId="3" fillId="0" borderId="16" xfId="0" applyNumberFormat="1" applyFont="1" applyBorder="1"/>
    <xf numFmtId="164" fontId="3" fillId="0" borderId="7" xfId="0" applyNumberFormat="1" applyFont="1" applyBorder="1"/>
    <xf numFmtId="164" fontId="3" fillId="0" borderId="17" xfId="0" applyNumberFormat="1" applyFont="1" applyBorder="1"/>
    <xf numFmtId="164" fontId="3" fillId="0" borderId="8" xfId="0" applyNumberFormat="1" applyFont="1" applyBorder="1"/>
    <xf numFmtId="164" fontId="3" fillId="0" borderId="18" xfId="0" applyNumberFormat="1" applyFont="1" applyBorder="1"/>
    <xf numFmtId="164" fontId="3" fillId="0" borderId="19" xfId="0" applyNumberFormat="1" applyFont="1" applyBorder="1"/>
    <xf numFmtId="164" fontId="3" fillId="0" borderId="20" xfId="0" applyNumberFormat="1" applyFont="1" applyBorder="1"/>
    <xf numFmtId="0" fontId="1" fillId="0" borderId="21" xfId="0" applyFont="1" applyBorder="1"/>
    <xf numFmtId="164" fontId="3" fillId="0" borderId="22" xfId="0" applyNumberFormat="1" applyFont="1" applyBorder="1"/>
    <xf numFmtId="164" fontId="3" fillId="0" borderId="23" xfId="0" applyNumberFormat="1" applyFont="1" applyBorder="1"/>
    <xf numFmtId="164" fontId="3" fillId="0" borderId="24" xfId="0" applyNumberFormat="1" applyFont="1" applyBorder="1"/>
    <xf numFmtId="0" fontId="1" fillId="0" borderId="25" xfId="0" applyFont="1" applyBorder="1"/>
    <xf numFmtId="0" fontId="1" fillId="0" borderId="10" xfId="0" applyFont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0" xfId="0" applyNumberFormat="1" applyFont="1"/>
    <xf numFmtId="164" fontId="3" fillId="0" borderId="28" xfId="0" applyNumberFormat="1" applyFont="1" applyBorder="1"/>
    <xf numFmtId="164" fontId="3" fillId="0" borderId="29" xfId="0" applyNumberFormat="1" applyFont="1" applyBorder="1"/>
    <xf numFmtId="164" fontId="3" fillId="0" borderId="30" xfId="0" applyNumberFormat="1" applyFont="1" applyBorder="1"/>
    <xf numFmtId="164" fontId="3" fillId="0" borderId="31" xfId="0" applyNumberFormat="1" applyFont="1" applyBorder="1"/>
    <xf numFmtId="164" fontId="3" fillId="2" borderId="2" xfId="0" applyNumberFormat="1" applyFont="1" applyFill="1" applyBorder="1"/>
    <xf numFmtId="164" fontId="3" fillId="3" borderId="2" xfId="0" applyNumberFormat="1" applyFont="1" applyFill="1" applyBorder="1"/>
    <xf numFmtId="164" fontId="3" fillId="4" borderId="2" xfId="0" applyNumberFormat="1" applyFont="1" applyFill="1" applyBorder="1"/>
    <xf numFmtId="164" fontId="3" fillId="4" borderId="13" xfId="0" applyNumberFormat="1" applyFont="1" applyFill="1" applyBorder="1"/>
  </cellXfs>
  <cellStyles count="1">
    <cellStyle name="Normal" xfId="0" builtinId="0"/>
  </cellStyles>
  <dxfs count="7"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C30"/>
  <sheetViews>
    <sheetView tabSelected="1" workbookViewId="0">
      <selection activeCell="A4" sqref="A4"/>
    </sheetView>
  </sheetViews>
  <sheetFormatPr defaultRowHeight="14.25" x14ac:dyDescent="0.45"/>
  <cols>
    <col min="2" max="2" width="17.19921875" bestFit="1" customWidth="1"/>
    <col min="3" max="4" width="9.1328125" bestFit="1" customWidth="1"/>
    <col min="5" max="5" width="9" bestFit="1" customWidth="1"/>
    <col min="6" max="6" width="9.1328125" bestFit="1" customWidth="1"/>
    <col min="7" max="7" width="5.6640625" bestFit="1" customWidth="1"/>
    <col min="8" max="8" width="9" bestFit="1" customWidth="1"/>
    <col min="9" max="9" width="9.1328125" bestFit="1" customWidth="1"/>
    <col min="10" max="10" width="5.6640625" bestFit="1" customWidth="1"/>
    <col min="11" max="11" width="9" bestFit="1" customWidth="1"/>
    <col min="12" max="12" width="9.1328125" bestFit="1" customWidth="1"/>
    <col min="13" max="13" width="5.6640625" bestFit="1" customWidth="1"/>
    <col min="14" max="14" width="9" bestFit="1" customWidth="1"/>
    <col min="15" max="15" width="9.1328125" bestFit="1" customWidth="1"/>
    <col min="16" max="16" width="5.6640625" bestFit="1" customWidth="1"/>
    <col min="17" max="17" width="9" bestFit="1" customWidth="1"/>
    <col min="18" max="18" width="9.1328125" bestFit="1" customWidth="1"/>
    <col min="19" max="19" width="5.6640625" bestFit="1" customWidth="1"/>
    <col min="20" max="20" width="9" bestFit="1" customWidth="1"/>
    <col min="21" max="21" width="9.1328125" bestFit="1" customWidth="1"/>
    <col min="22" max="22" width="5.6640625" bestFit="1" customWidth="1"/>
    <col min="23" max="23" width="9" bestFit="1" customWidth="1"/>
    <col min="24" max="24" width="9.1328125" bestFit="1" customWidth="1"/>
    <col min="25" max="25" width="5.6640625" bestFit="1" customWidth="1"/>
    <col min="26" max="26" width="9" bestFit="1" customWidth="1"/>
    <col min="27" max="27" width="9.1328125" bestFit="1" customWidth="1"/>
    <col min="28" max="28" width="5.6640625" bestFit="1" customWidth="1"/>
    <col min="29" max="29" width="9" bestFit="1" customWidth="1"/>
  </cols>
  <sheetData>
    <row r="1" spans="2:29" ht="14.65" thickBot="1" x14ac:dyDescent="0.5"/>
    <row r="2" spans="2:29" ht="14.65" thickBot="1" x14ac:dyDescent="0.5">
      <c r="B2" s="1" t="s">
        <v>0</v>
      </c>
      <c r="C2" s="2" t="s">
        <v>1</v>
      </c>
      <c r="D2" s="3"/>
      <c r="E2" s="4"/>
      <c r="F2" s="5" t="s">
        <v>2</v>
      </c>
      <c r="G2" s="5"/>
      <c r="H2" s="5"/>
      <c r="I2" s="2" t="s">
        <v>3</v>
      </c>
      <c r="J2" s="3"/>
      <c r="K2" s="4"/>
      <c r="L2" s="6" t="s">
        <v>4</v>
      </c>
      <c r="M2" s="6"/>
      <c r="N2" s="7"/>
      <c r="O2" s="8" t="s">
        <v>5</v>
      </c>
      <c r="P2" s="6"/>
      <c r="Q2" s="7"/>
      <c r="R2" s="8" t="s">
        <v>6</v>
      </c>
      <c r="S2" s="6"/>
      <c r="T2" s="7"/>
      <c r="U2" s="8" t="s">
        <v>7</v>
      </c>
      <c r="V2" s="6"/>
      <c r="W2" s="7"/>
      <c r="X2" s="8" t="s">
        <v>8</v>
      </c>
      <c r="Y2" s="6"/>
      <c r="Z2" s="7"/>
      <c r="AA2" s="8" t="s">
        <v>9</v>
      </c>
      <c r="AB2" s="6"/>
      <c r="AC2" s="9"/>
    </row>
    <row r="3" spans="2:29" ht="14.65" thickBot="1" x14ac:dyDescent="0.5">
      <c r="B3" s="10"/>
      <c r="C3" s="11" t="s">
        <v>10</v>
      </c>
      <c r="D3" s="12" t="s">
        <v>11</v>
      </c>
      <c r="E3" s="13" t="s">
        <v>39</v>
      </c>
      <c r="F3" s="11" t="s">
        <v>10</v>
      </c>
      <c r="G3" s="12" t="s">
        <v>11</v>
      </c>
      <c r="H3" s="13" t="s">
        <v>39</v>
      </c>
      <c r="I3" s="11" t="s">
        <v>10</v>
      </c>
      <c r="J3" s="12" t="s">
        <v>11</v>
      </c>
      <c r="K3" s="13" t="s">
        <v>39</v>
      </c>
      <c r="L3" s="11" t="s">
        <v>10</v>
      </c>
      <c r="M3" s="12" t="s">
        <v>11</v>
      </c>
      <c r="N3" s="13" t="s">
        <v>39</v>
      </c>
      <c r="O3" s="11" t="s">
        <v>10</v>
      </c>
      <c r="P3" s="12" t="s">
        <v>11</v>
      </c>
      <c r="Q3" s="13" t="s">
        <v>39</v>
      </c>
      <c r="R3" s="11" t="s">
        <v>10</v>
      </c>
      <c r="S3" s="12" t="s">
        <v>11</v>
      </c>
      <c r="T3" s="13" t="s">
        <v>39</v>
      </c>
      <c r="U3" s="11" t="s">
        <v>10</v>
      </c>
      <c r="V3" s="12" t="s">
        <v>11</v>
      </c>
      <c r="W3" s="13" t="s">
        <v>39</v>
      </c>
      <c r="X3" s="11" t="s">
        <v>10</v>
      </c>
      <c r="Y3" s="12" t="s">
        <v>11</v>
      </c>
      <c r="Z3" s="13" t="s">
        <v>39</v>
      </c>
      <c r="AA3" s="11" t="s">
        <v>10</v>
      </c>
      <c r="AB3" s="12" t="s">
        <v>11</v>
      </c>
      <c r="AC3" s="13" t="s">
        <v>39</v>
      </c>
    </row>
    <row r="4" spans="2:29" x14ac:dyDescent="0.45">
      <c r="B4" s="14" t="s">
        <v>12</v>
      </c>
      <c r="C4" s="15">
        <v>750</v>
      </c>
      <c r="D4" s="16">
        <v>750</v>
      </c>
      <c r="E4" s="17">
        <f>C4-D4</f>
        <v>0</v>
      </c>
      <c r="F4" s="18">
        <v>750</v>
      </c>
      <c r="G4" s="19"/>
      <c r="H4" s="20"/>
      <c r="I4" s="15">
        <v>750</v>
      </c>
      <c r="J4" s="19"/>
      <c r="K4" s="17"/>
      <c r="L4" s="15">
        <v>750</v>
      </c>
      <c r="M4" s="18"/>
      <c r="N4" s="17"/>
      <c r="O4" s="21">
        <v>750</v>
      </c>
      <c r="P4" s="22"/>
      <c r="Q4" s="23"/>
      <c r="R4" s="15">
        <v>750</v>
      </c>
      <c r="S4" s="19"/>
      <c r="T4" s="17"/>
      <c r="U4" s="15">
        <v>750</v>
      </c>
      <c r="V4" s="19"/>
      <c r="W4" s="17"/>
      <c r="X4" s="15">
        <v>750</v>
      </c>
      <c r="Y4" s="19"/>
      <c r="Z4" s="17"/>
      <c r="AA4" s="15">
        <v>750</v>
      </c>
      <c r="AB4" s="19"/>
      <c r="AC4" s="17"/>
    </row>
    <row r="5" spans="2:29" x14ac:dyDescent="0.45">
      <c r="B5" s="24" t="s">
        <v>13</v>
      </c>
      <c r="C5" s="25">
        <v>250</v>
      </c>
      <c r="D5" s="26">
        <f>4.84+29.34+31.69+69.68+8.44+41.61+6.53+30.19+0.51+7.87+64.99</f>
        <v>295.69</v>
      </c>
      <c r="E5" s="27">
        <f t="shared" ref="E5:E29" si="0">C5-D5</f>
        <v>-45.69</v>
      </c>
      <c r="F5" s="21">
        <v>250</v>
      </c>
      <c r="G5" s="22"/>
      <c r="H5" s="23"/>
      <c r="I5" s="25">
        <v>250</v>
      </c>
      <c r="J5" s="22"/>
      <c r="K5" s="27"/>
      <c r="L5" s="25">
        <v>250</v>
      </c>
      <c r="M5" s="21"/>
      <c r="N5" s="27"/>
      <c r="O5" s="21">
        <v>250</v>
      </c>
      <c r="P5" s="22"/>
      <c r="Q5" s="23"/>
      <c r="R5" s="25">
        <v>250</v>
      </c>
      <c r="S5" s="22"/>
      <c r="T5" s="27"/>
      <c r="U5" s="25">
        <v>250</v>
      </c>
      <c r="V5" s="22"/>
      <c r="W5" s="27"/>
      <c r="X5" s="25">
        <v>250</v>
      </c>
      <c r="Y5" s="22"/>
      <c r="Z5" s="27"/>
      <c r="AA5" s="25">
        <v>250</v>
      </c>
      <c r="AB5" s="22"/>
      <c r="AC5" s="27"/>
    </row>
    <row r="6" spans="2:29" x14ac:dyDescent="0.45">
      <c r="B6" s="24" t="s">
        <v>14</v>
      </c>
      <c r="C6" s="25">
        <v>146.29</v>
      </c>
      <c r="D6" s="26">
        <v>146.29</v>
      </c>
      <c r="E6" s="27">
        <f t="shared" si="0"/>
        <v>0</v>
      </c>
      <c r="F6" s="21">
        <v>146.29</v>
      </c>
      <c r="G6" s="22"/>
      <c r="H6" s="23"/>
      <c r="I6" s="25">
        <v>146.29</v>
      </c>
      <c r="J6" s="22"/>
      <c r="K6" s="27"/>
      <c r="L6" s="25">
        <v>146.29</v>
      </c>
      <c r="M6" s="21"/>
      <c r="N6" s="27"/>
      <c r="O6" s="21">
        <v>146.29</v>
      </c>
      <c r="P6" s="22"/>
      <c r="Q6" s="23"/>
      <c r="R6" s="25">
        <v>146.29</v>
      </c>
      <c r="S6" s="22"/>
      <c r="T6" s="27"/>
      <c r="U6" s="25">
        <v>146.29</v>
      </c>
      <c r="V6" s="22"/>
      <c r="W6" s="27"/>
      <c r="X6" s="25">
        <v>146.29</v>
      </c>
      <c r="Y6" s="22"/>
      <c r="Z6" s="27"/>
      <c r="AA6" s="25">
        <v>146.29</v>
      </c>
      <c r="AB6" s="22"/>
      <c r="AC6" s="27"/>
    </row>
    <row r="7" spans="2:29" x14ac:dyDescent="0.45">
      <c r="B7" s="24" t="s">
        <v>15</v>
      </c>
      <c r="C7" s="25">
        <v>55.08</v>
      </c>
      <c r="D7" s="26">
        <v>55.08</v>
      </c>
      <c r="E7" s="27">
        <f t="shared" si="0"/>
        <v>0</v>
      </c>
      <c r="F7" s="21">
        <v>0</v>
      </c>
      <c r="G7" s="22"/>
      <c r="H7" s="23"/>
      <c r="I7" s="25">
        <v>0</v>
      </c>
      <c r="J7" s="22"/>
      <c r="K7" s="27"/>
      <c r="L7" s="25">
        <v>55.08</v>
      </c>
      <c r="M7" s="21"/>
      <c r="N7" s="27"/>
      <c r="O7" s="21">
        <v>0</v>
      </c>
      <c r="P7" s="22"/>
      <c r="Q7" s="23"/>
      <c r="R7" s="25">
        <v>0</v>
      </c>
      <c r="S7" s="22"/>
      <c r="T7" s="27"/>
      <c r="U7" s="25">
        <v>55.08</v>
      </c>
      <c r="V7" s="21"/>
      <c r="W7" s="27"/>
      <c r="X7" s="25">
        <v>0</v>
      </c>
      <c r="Y7" s="22"/>
      <c r="Z7" s="27"/>
      <c r="AA7" s="25">
        <v>0</v>
      </c>
      <c r="AB7" s="22"/>
      <c r="AC7" s="27"/>
    </row>
    <row r="8" spans="2:29" x14ac:dyDescent="0.45">
      <c r="B8" s="24" t="s">
        <v>16</v>
      </c>
      <c r="C8" s="25">
        <v>14.98</v>
      </c>
      <c r="D8" s="26">
        <v>14.98</v>
      </c>
      <c r="E8" s="27">
        <f t="shared" si="0"/>
        <v>0</v>
      </c>
      <c r="F8" s="21">
        <v>14.98</v>
      </c>
      <c r="G8" s="22"/>
      <c r="H8" s="23"/>
      <c r="I8" s="25">
        <v>14.98</v>
      </c>
      <c r="J8" s="22"/>
      <c r="K8" s="27"/>
      <c r="L8" s="25">
        <v>14.98</v>
      </c>
      <c r="M8" s="21"/>
      <c r="N8" s="27"/>
      <c r="O8" s="21">
        <v>14.98</v>
      </c>
      <c r="P8" s="22"/>
      <c r="Q8" s="23"/>
      <c r="R8" s="25">
        <v>14.98</v>
      </c>
      <c r="S8" s="22"/>
      <c r="T8" s="27"/>
      <c r="U8" s="25">
        <v>14.98</v>
      </c>
      <c r="V8" s="22"/>
      <c r="W8" s="27"/>
      <c r="X8" s="25">
        <v>14.98</v>
      </c>
      <c r="Y8" s="22"/>
      <c r="Z8" s="27"/>
      <c r="AA8" s="25">
        <v>14.98</v>
      </c>
      <c r="AB8" s="22"/>
      <c r="AC8" s="27"/>
    </row>
    <row r="9" spans="2:29" x14ac:dyDescent="0.45">
      <c r="B9" s="24" t="s">
        <v>17</v>
      </c>
      <c r="C9" s="25">
        <v>59.95</v>
      </c>
      <c r="D9" s="26">
        <v>59.95</v>
      </c>
      <c r="E9" s="27">
        <f t="shared" si="0"/>
        <v>0</v>
      </c>
      <c r="F9" s="21">
        <v>59.95</v>
      </c>
      <c r="G9" s="22"/>
      <c r="H9" s="23"/>
      <c r="I9" s="25">
        <v>59.95</v>
      </c>
      <c r="J9" s="22"/>
      <c r="K9" s="27"/>
      <c r="L9" s="25">
        <v>59.95</v>
      </c>
      <c r="M9" s="21"/>
      <c r="N9" s="27"/>
      <c r="O9" s="21">
        <v>59.95</v>
      </c>
      <c r="P9" s="22"/>
      <c r="Q9" s="23"/>
      <c r="R9" s="25">
        <v>59.95</v>
      </c>
      <c r="S9" s="22"/>
      <c r="T9" s="27"/>
      <c r="U9" s="25">
        <v>59.95</v>
      </c>
      <c r="V9" s="22"/>
      <c r="W9" s="27"/>
      <c r="X9" s="25">
        <v>59.95</v>
      </c>
      <c r="Y9" s="22"/>
      <c r="Z9" s="27"/>
      <c r="AA9" s="25">
        <v>59.95</v>
      </c>
      <c r="AB9" s="22"/>
      <c r="AC9" s="27"/>
    </row>
    <row r="10" spans="2:29" x14ac:dyDescent="0.45">
      <c r="B10" s="24" t="s">
        <v>18</v>
      </c>
      <c r="C10" s="25">
        <v>60</v>
      </c>
      <c r="D10" s="26">
        <v>33.31</v>
      </c>
      <c r="E10" s="27">
        <f t="shared" si="0"/>
        <v>26.689999999999998</v>
      </c>
      <c r="F10" s="21">
        <v>60</v>
      </c>
      <c r="G10" s="22"/>
      <c r="H10" s="23"/>
      <c r="I10" s="25">
        <v>60</v>
      </c>
      <c r="J10" s="22"/>
      <c r="K10" s="27"/>
      <c r="L10" s="25">
        <v>60</v>
      </c>
      <c r="M10" s="21"/>
      <c r="N10" s="27"/>
      <c r="O10" s="21">
        <v>60</v>
      </c>
      <c r="P10" s="22"/>
      <c r="Q10" s="23"/>
      <c r="R10" s="25">
        <v>60</v>
      </c>
      <c r="S10" s="22"/>
      <c r="T10" s="27"/>
      <c r="U10" s="25">
        <v>60</v>
      </c>
      <c r="V10" s="22"/>
      <c r="W10" s="27"/>
      <c r="X10" s="25">
        <v>60</v>
      </c>
      <c r="Y10" s="22"/>
      <c r="Z10" s="27"/>
      <c r="AA10" s="25">
        <v>60</v>
      </c>
      <c r="AB10" s="22"/>
      <c r="AC10" s="27"/>
    </row>
    <row r="11" spans="2:29" x14ac:dyDescent="0.45">
      <c r="B11" s="24" t="s">
        <v>19</v>
      </c>
      <c r="C11" s="25">
        <v>91.59</v>
      </c>
      <c r="D11" s="26">
        <v>91.59</v>
      </c>
      <c r="E11" s="27">
        <f t="shared" si="0"/>
        <v>0</v>
      </c>
      <c r="F11" s="21">
        <v>91.59</v>
      </c>
      <c r="G11" s="22"/>
      <c r="H11" s="23"/>
      <c r="I11" s="25">
        <v>91.59</v>
      </c>
      <c r="J11" s="22"/>
      <c r="K11" s="27"/>
      <c r="L11" s="25">
        <v>91.51</v>
      </c>
      <c r="M11" s="21"/>
      <c r="N11" s="27"/>
      <c r="O11" s="21">
        <v>0</v>
      </c>
      <c r="P11" s="22"/>
      <c r="Q11" s="23"/>
      <c r="R11" s="25">
        <v>0</v>
      </c>
      <c r="S11" s="22"/>
      <c r="T11" s="27"/>
      <c r="U11" s="25">
        <v>0</v>
      </c>
      <c r="V11" s="22"/>
      <c r="W11" s="27"/>
      <c r="X11" s="25">
        <v>0</v>
      </c>
      <c r="Y11" s="22"/>
      <c r="Z11" s="27"/>
      <c r="AA11" s="25">
        <v>0</v>
      </c>
      <c r="AB11" s="22"/>
      <c r="AC11" s="27"/>
    </row>
    <row r="12" spans="2:29" x14ac:dyDescent="0.45">
      <c r="B12" s="24" t="s">
        <v>20</v>
      </c>
      <c r="C12" s="25">
        <v>401.2</v>
      </c>
      <c r="D12" s="26">
        <v>401.2</v>
      </c>
      <c r="E12" s="27">
        <f t="shared" si="0"/>
        <v>0</v>
      </c>
      <c r="F12" s="21">
        <v>401.2</v>
      </c>
      <c r="G12" s="22"/>
      <c r="H12" s="23"/>
      <c r="I12" s="25">
        <v>401.2</v>
      </c>
      <c r="J12" s="22"/>
      <c r="K12" s="27"/>
      <c r="L12" s="25">
        <v>401.19</v>
      </c>
      <c r="M12" s="21"/>
      <c r="N12" s="27"/>
      <c r="O12" s="21">
        <v>0</v>
      </c>
      <c r="P12" s="22"/>
      <c r="Q12" s="23"/>
      <c r="R12" s="25">
        <v>0</v>
      </c>
      <c r="S12" s="22"/>
      <c r="T12" s="27"/>
      <c r="U12" s="25">
        <v>0</v>
      </c>
      <c r="V12" s="22"/>
      <c r="W12" s="27"/>
      <c r="X12" s="25">
        <v>0</v>
      </c>
      <c r="Y12" s="22"/>
      <c r="Z12" s="27"/>
      <c r="AA12" s="25">
        <v>0</v>
      </c>
      <c r="AB12" s="22"/>
      <c r="AC12" s="27"/>
    </row>
    <row r="13" spans="2:29" x14ac:dyDescent="0.45">
      <c r="B13" s="24" t="s">
        <v>21</v>
      </c>
      <c r="C13" s="25">
        <v>6</v>
      </c>
      <c r="D13" s="26">
        <v>6</v>
      </c>
      <c r="E13" s="27">
        <f t="shared" si="0"/>
        <v>0</v>
      </c>
      <c r="F13" s="21">
        <v>6</v>
      </c>
      <c r="G13" s="22"/>
      <c r="H13" s="23"/>
      <c r="I13" s="25">
        <v>6</v>
      </c>
      <c r="J13" s="22"/>
      <c r="K13" s="27"/>
      <c r="L13" s="25">
        <v>6</v>
      </c>
      <c r="M13" s="21"/>
      <c r="N13" s="27"/>
      <c r="O13" s="21">
        <v>6</v>
      </c>
      <c r="P13" s="22"/>
      <c r="Q13" s="23"/>
      <c r="R13" s="25">
        <v>6</v>
      </c>
      <c r="S13" s="22"/>
      <c r="T13" s="27"/>
      <c r="U13" s="25">
        <v>6</v>
      </c>
      <c r="V13" s="22"/>
      <c r="W13" s="27"/>
      <c r="X13" s="25">
        <v>6</v>
      </c>
      <c r="Y13" s="22"/>
      <c r="Z13" s="27"/>
      <c r="AA13" s="25">
        <v>6</v>
      </c>
      <c r="AB13" s="22"/>
      <c r="AC13" s="27"/>
    </row>
    <row r="14" spans="2:29" x14ac:dyDescent="0.45">
      <c r="B14" s="24" t="s">
        <v>22</v>
      </c>
      <c r="C14" s="25">
        <v>22</v>
      </c>
      <c r="D14" s="26">
        <v>22</v>
      </c>
      <c r="E14" s="27">
        <f t="shared" si="0"/>
        <v>0</v>
      </c>
      <c r="F14" s="21">
        <v>22</v>
      </c>
      <c r="G14" s="22"/>
      <c r="H14" s="23"/>
      <c r="I14" s="25">
        <v>22</v>
      </c>
      <c r="J14" s="22"/>
      <c r="K14" s="27"/>
      <c r="L14" s="25">
        <v>22</v>
      </c>
      <c r="M14" s="21"/>
      <c r="N14" s="27"/>
      <c r="O14" s="21">
        <v>22</v>
      </c>
      <c r="P14" s="22"/>
      <c r="Q14" s="23"/>
      <c r="R14" s="25">
        <v>22</v>
      </c>
      <c r="S14" s="22"/>
      <c r="T14" s="27"/>
      <c r="U14" s="25">
        <v>22</v>
      </c>
      <c r="V14" s="22"/>
      <c r="W14" s="27"/>
      <c r="X14" s="25">
        <v>22</v>
      </c>
      <c r="Y14" s="22"/>
      <c r="Z14" s="27"/>
      <c r="AA14" s="25">
        <v>22</v>
      </c>
      <c r="AB14" s="22"/>
      <c r="AC14" s="27"/>
    </row>
    <row r="15" spans="2:29" x14ac:dyDescent="0.45">
      <c r="B15" s="24" t="s">
        <v>23</v>
      </c>
      <c r="C15" s="25">
        <v>21.99</v>
      </c>
      <c r="D15" s="26">
        <v>21.99</v>
      </c>
      <c r="E15" s="27">
        <f t="shared" si="0"/>
        <v>0</v>
      </c>
      <c r="F15" s="21">
        <v>21.99</v>
      </c>
      <c r="G15" s="22"/>
      <c r="H15" s="23"/>
      <c r="I15" s="25">
        <v>21.99</v>
      </c>
      <c r="J15" s="22"/>
      <c r="K15" s="27"/>
      <c r="L15" s="25">
        <v>21.99</v>
      </c>
      <c r="M15" s="21"/>
      <c r="N15" s="27"/>
      <c r="O15" s="21">
        <v>21.99</v>
      </c>
      <c r="P15" s="22"/>
      <c r="Q15" s="23"/>
      <c r="R15" s="25">
        <v>21.99</v>
      </c>
      <c r="S15" s="22"/>
      <c r="T15" s="27"/>
      <c r="U15" s="25">
        <v>21.99</v>
      </c>
      <c r="V15" s="22"/>
      <c r="W15" s="27"/>
      <c r="X15" s="25">
        <v>21.99</v>
      </c>
      <c r="Y15" s="22"/>
      <c r="Z15" s="27"/>
      <c r="AA15" s="25">
        <v>21.99</v>
      </c>
      <c r="AB15" s="22"/>
      <c r="AC15" s="27"/>
    </row>
    <row r="16" spans="2:29" x14ac:dyDescent="0.45">
      <c r="B16" s="24" t="s">
        <v>24</v>
      </c>
      <c r="C16" s="25">
        <v>12.99</v>
      </c>
      <c r="D16" s="26">
        <v>12.99</v>
      </c>
      <c r="E16" s="27">
        <f t="shared" si="0"/>
        <v>0</v>
      </c>
      <c r="F16" s="21">
        <v>12.99</v>
      </c>
      <c r="G16" s="22"/>
      <c r="H16" s="23"/>
      <c r="I16" s="25">
        <v>12.99</v>
      </c>
      <c r="J16" s="22"/>
      <c r="K16" s="27"/>
      <c r="L16" s="25">
        <v>12.99</v>
      </c>
      <c r="M16" s="21"/>
      <c r="N16" s="27"/>
      <c r="O16" s="21">
        <v>12.99</v>
      </c>
      <c r="P16" s="22"/>
      <c r="Q16" s="23"/>
      <c r="R16" s="25">
        <v>12.99</v>
      </c>
      <c r="S16" s="22"/>
      <c r="T16" s="27"/>
      <c r="U16" s="25">
        <v>12.99</v>
      </c>
      <c r="V16" s="22"/>
      <c r="W16" s="27"/>
      <c r="X16" s="25">
        <v>12.99</v>
      </c>
      <c r="Y16" s="22"/>
      <c r="Z16" s="27"/>
      <c r="AA16" s="25">
        <v>12.99</v>
      </c>
      <c r="AB16" s="22"/>
      <c r="AC16" s="27"/>
    </row>
    <row r="17" spans="2:29" x14ac:dyDescent="0.45">
      <c r="B17" s="24" t="s">
        <v>25</v>
      </c>
      <c r="C17" s="25">
        <v>12.99</v>
      </c>
      <c r="D17" s="26">
        <v>12.99</v>
      </c>
      <c r="E17" s="27">
        <f t="shared" si="0"/>
        <v>0</v>
      </c>
      <c r="F17" s="21">
        <v>12.99</v>
      </c>
      <c r="G17" s="22"/>
      <c r="H17" s="23"/>
      <c r="I17" s="25">
        <v>12.99</v>
      </c>
      <c r="J17" s="22"/>
      <c r="K17" s="27"/>
      <c r="L17" s="25">
        <v>12.99</v>
      </c>
      <c r="M17" s="21"/>
      <c r="N17" s="27"/>
      <c r="O17" s="21">
        <v>12.99</v>
      </c>
      <c r="P17" s="22"/>
      <c r="Q17" s="23"/>
      <c r="R17" s="25">
        <v>12.99</v>
      </c>
      <c r="S17" s="22"/>
      <c r="T17" s="27"/>
      <c r="U17" s="25">
        <v>12.99</v>
      </c>
      <c r="V17" s="22"/>
      <c r="W17" s="27"/>
      <c r="X17" s="25">
        <v>12.99</v>
      </c>
      <c r="Y17" s="22"/>
      <c r="Z17" s="27"/>
      <c r="AA17" s="25">
        <v>12.99</v>
      </c>
      <c r="AB17" s="22"/>
      <c r="AC17" s="27"/>
    </row>
    <row r="18" spans="2:29" x14ac:dyDescent="0.45">
      <c r="B18" s="24" t="s">
        <v>26</v>
      </c>
      <c r="C18" s="25">
        <v>2.99</v>
      </c>
      <c r="D18" s="26">
        <v>2.99</v>
      </c>
      <c r="E18" s="27">
        <f t="shared" si="0"/>
        <v>0</v>
      </c>
      <c r="F18" s="21">
        <v>2.99</v>
      </c>
      <c r="G18" s="22"/>
      <c r="H18" s="23"/>
      <c r="I18" s="25">
        <v>2.99</v>
      </c>
      <c r="J18" s="22"/>
      <c r="K18" s="27"/>
      <c r="L18" s="25">
        <v>2.99</v>
      </c>
      <c r="M18" s="21"/>
      <c r="N18" s="27"/>
      <c r="O18" s="21">
        <v>2.99</v>
      </c>
      <c r="P18" s="22"/>
      <c r="Q18" s="23"/>
      <c r="R18" s="25">
        <v>2.99</v>
      </c>
      <c r="S18" s="22"/>
      <c r="T18" s="27"/>
      <c r="U18" s="25">
        <v>2.99</v>
      </c>
      <c r="V18" s="22"/>
      <c r="W18" s="27"/>
      <c r="X18" s="25">
        <v>2.99</v>
      </c>
      <c r="Y18" s="22"/>
      <c r="Z18" s="27"/>
      <c r="AA18" s="25">
        <v>2.99</v>
      </c>
      <c r="AB18" s="22"/>
      <c r="AC18" s="27"/>
    </row>
    <row r="19" spans="2:29" x14ac:dyDescent="0.45">
      <c r="B19" s="24" t="s">
        <v>27</v>
      </c>
      <c r="C19" s="25">
        <v>43</v>
      </c>
      <c r="D19" s="26">
        <v>43</v>
      </c>
      <c r="E19" s="27">
        <f t="shared" si="0"/>
        <v>0</v>
      </c>
      <c r="F19" s="21">
        <v>43</v>
      </c>
      <c r="G19" s="22"/>
      <c r="H19" s="23"/>
      <c r="I19" s="25">
        <v>43</v>
      </c>
      <c r="J19" s="22"/>
      <c r="K19" s="27"/>
      <c r="L19" s="25">
        <v>43</v>
      </c>
      <c r="M19" s="21"/>
      <c r="N19" s="27"/>
      <c r="O19" s="21">
        <v>43</v>
      </c>
      <c r="P19" s="22"/>
      <c r="Q19" s="23"/>
      <c r="R19" s="25">
        <v>43</v>
      </c>
      <c r="S19" s="22"/>
      <c r="T19" s="27"/>
      <c r="U19" s="25">
        <v>43</v>
      </c>
      <c r="V19" s="22"/>
      <c r="W19" s="27"/>
      <c r="X19" s="25">
        <v>43</v>
      </c>
      <c r="Y19" s="22"/>
      <c r="Z19" s="27"/>
      <c r="AA19" s="25">
        <v>43</v>
      </c>
      <c r="AB19" s="22"/>
      <c r="AC19" s="27"/>
    </row>
    <row r="20" spans="2:29" x14ac:dyDescent="0.45">
      <c r="B20" s="24" t="s">
        <v>28</v>
      </c>
      <c r="C20" s="25">
        <v>30</v>
      </c>
      <c r="D20" s="26">
        <v>22.5</v>
      </c>
      <c r="E20" s="27">
        <f t="shared" si="0"/>
        <v>7.5</v>
      </c>
      <c r="F20" s="21">
        <v>30</v>
      </c>
      <c r="G20" s="21"/>
      <c r="H20" s="23"/>
      <c r="I20" s="25">
        <v>30</v>
      </c>
      <c r="J20" s="22"/>
      <c r="K20" s="27"/>
      <c r="L20" s="25">
        <v>30</v>
      </c>
      <c r="M20" s="21"/>
      <c r="N20" s="27"/>
      <c r="O20" s="21">
        <v>30</v>
      </c>
      <c r="P20" s="21"/>
      <c r="Q20" s="23"/>
      <c r="R20" s="25">
        <v>30</v>
      </c>
      <c r="S20" s="21"/>
      <c r="T20" s="27"/>
      <c r="U20" s="25">
        <v>30</v>
      </c>
      <c r="V20" s="21"/>
      <c r="W20" s="27"/>
      <c r="X20" s="25">
        <v>30</v>
      </c>
      <c r="Y20" s="21"/>
      <c r="Z20" s="27"/>
      <c r="AA20" s="25">
        <v>30</v>
      </c>
      <c r="AB20" s="21"/>
      <c r="AC20" s="27"/>
    </row>
    <row r="21" spans="2:29" x14ac:dyDescent="0.45">
      <c r="B21" s="24" t="s">
        <v>29</v>
      </c>
      <c r="C21" s="25">
        <v>0</v>
      </c>
      <c r="D21" s="26">
        <v>0</v>
      </c>
      <c r="E21" s="27">
        <f t="shared" si="0"/>
        <v>0</v>
      </c>
      <c r="F21" s="21">
        <v>15</v>
      </c>
      <c r="G21" s="22"/>
      <c r="H21" s="23"/>
      <c r="I21" s="25">
        <v>15</v>
      </c>
      <c r="J21" s="22"/>
      <c r="K21" s="27"/>
      <c r="L21" s="25">
        <v>0</v>
      </c>
      <c r="M21" s="21"/>
      <c r="N21" s="27"/>
      <c r="O21" s="21">
        <v>15</v>
      </c>
      <c r="P21" s="22"/>
      <c r="Q21" s="23"/>
      <c r="R21" s="25">
        <v>15</v>
      </c>
      <c r="S21" s="22"/>
      <c r="T21" s="27"/>
      <c r="U21" s="25">
        <v>0</v>
      </c>
      <c r="V21" s="22"/>
      <c r="W21" s="27"/>
      <c r="X21" s="25">
        <v>15</v>
      </c>
      <c r="Y21" s="22"/>
      <c r="Z21" s="27"/>
      <c r="AA21" s="25">
        <v>15</v>
      </c>
      <c r="AB21" s="22"/>
      <c r="AC21" s="27"/>
    </row>
    <row r="22" spans="2:29" x14ac:dyDescent="0.45">
      <c r="B22" s="24" t="s">
        <v>30</v>
      </c>
      <c r="C22" s="25">
        <v>15</v>
      </c>
      <c r="D22" s="26">
        <v>15</v>
      </c>
      <c r="E22" s="27">
        <f t="shared" si="0"/>
        <v>0</v>
      </c>
      <c r="F22" s="21">
        <v>15</v>
      </c>
      <c r="G22" s="22"/>
      <c r="H22" s="23"/>
      <c r="I22" s="25">
        <v>0</v>
      </c>
      <c r="J22" s="22"/>
      <c r="K22" s="27"/>
      <c r="L22" s="25">
        <v>15</v>
      </c>
      <c r="M22" s="21"/>
      <c r="N22" s="27"/>
      <c r="O22" s="21">
        <v>15</v>
      </c>
      <c r="P22" s="22"/>
      <c r="Q22" s="23"/>
      <c r="R22" s="25">
        <v>0</v>
      </c>
      <c r="S22" s="22"/>
      <c r="T22" s="27"/>
      <c r="U22" s="25">
        <v>15</v>
      </c>
      <c r="V22" s="22"/>
      <c r="W22" s="27"/>
      <c r="X22" s="25">
        <v>15</v>
      </c>
      <c r="Y22" s="22"/>
      <c r="Z22" s="27"/>
      <c r="AA22" s="25">
        <v>0</v>
      </c>
      <c r="AB22" s="22"/>
      <c r="AC22" s="27"/>
    </row>
    <row r="23" spans="2:29" x14ac:dyDescent="0.45">
      <c r="B23" s="24" t="s">
        <v>31</v>
      </c>
      <c r="C23" s="25">
        <v>4.49</v>
      </c>
      <c r="D23" s="26">
        <v>4.49</v>
      </c>
      <c r="E23" s="27">
        <f t="shared" si="0"/>
        <v>0</v>
      </c>
      <c r="F23" s="21">
        <v>4.49</v>
      </c>
      <c r="G23" s="22"/>
      <c r="H23" s="23"/>
      <c r="I23" s="25">
        <v>4.49</v>
      </c>
      <c r="J23" s="22"/>
      <c r="K23" s="27"/>
      <c r="L23" s="25">
        <v>4.49</v>
      </c>
      <c r="M23" s="21"/>
      <c r="N23" s="27"/>
      <c r="O23" s="21">
        <v>4.49</v>
      </c>
      <c r="P23" s="22"/>
      <c r="Q23" s="23"/>
      <c r="R23" s="25">
        <v>4.49</v>
      </c>
      <c r="S23" s="22"/>
      <c r="T23" s="27"/>
      <c r="U23" s="25">
        <v>4.49</v>
      </c>
      <c r="V23" s="22"/>
      <c r="W23" s="27"/>
      <c r="X23" s="25">
        <v>4.49</v>
      </c>
      <c r="Y23" s="22"/>
      <c r="Z23" s="27"/>
      <c r="AA23" s="25">
        <v>4.49</v>
      </c>
      <c r="AB23" s="22"/>
      <c r="AC23" s="27"/>
    </row>
    <row r="24" spans="2:29" x14ac:dyDescent="0.45">
      <c r="B24" s="24" t="s">
        <v>32</v>
      </c>
      <c r="C24" s="25">
        <v>2</v>
      </c>
      <c r="D24" s="26">
        <v>0</v>
      </c>
      <c r="E24" s="27">
        <f t="shared" si="0"/>
        <v>2</v>
      </c>
      <c r="F24" s="21">
        <v>2</v>
      </c>
      <c r="G24" s="22"/>
      <c r="H24" s="23"/>
      <c r="I24" s="25">
        <v>2</v>
      </c>
      <c r="J24" s="22"/>
      <c r="K24" s="27"/>
      <c r="L24" s="25">
        <v>2</v>
      </c>
      <c r="M24" s="21"/>
      <c r="N24" s="27"/>
      <c r="O24" s="21">
        <v>2</v>
      </c>
      <c r="P24" s="22"/>
      <c r="Q24" s="23"/>
      <c r="R24" s="25">
        <v>2</v>
      </c>
      <c r="S24" s="22"/>
      <c r="T24" s="27"/>
      <c r="U24" s="25">
        <v>2</v>
      </c>
      <c r="V24" s="22"/>
      <c r="W24" s="27"/>
      <c r="X24" s="25">
        <v>2</v>
      </c>
      <c r="Y24" s="22"/>
      <c r="Z24" s="27"/>
      <c r="AA24" s="25">
        <v>2</v>
      </c>
      <c r="AB24" s="22"/>
      <c r="AC24" s="27"/>
    </row>
    <row r="25" spans="2:29" x14ac:dyDescent="0.45">
      <c r="B25" s="24" t="s">
        <v>33</v>
      </c>
      <c r="C25" s="25">
        <v>35</v>
      </c>
      <c r="D25" s="26">
        <v>32.43</v>
      </c>
      <c r="E25" s="27">
        <f t="shared" si="0"/>
        <v>2.5700000000000003</v>
      </c>
      <c r="F25" s="21">
        <v>35</v>
      </c>
      <c r="G25" s="22"/>
      <c r="H25" s="23"/>
      <c r="I25" s="25">
        <v>35</v>
      </c>
      <c r="J25" s="22"/>
      <c r="K25" s="27"/>
      <c r="L25" s="25">
        <v>35</v>
      </c>
      <c r="M25" s="21"/>
      <c r="N25" s="27"/>
      <c r="O25" s="21">
        <v>0</v>
      </c>
      <c r="P25" s="22"/>
      <c r="Q25" s="23"/>
      <c r="R25" s="25">
        <v>0</v>
      </c>
      <c r="S25" s="22"/>
      <c r="T25" s="27"/>
      <c r="U25" s="25">
        <v>0</v>
      </c>
      <c r="V25" s="22"/>
      <c r="W25" s="27"/>
      <c r="X25" s="25">
        <v>0</v>
      </c>
      <c r="Y25" s="22"/>
      <c r="Z25" s="27"/>
      <c r="AA25" s="25">
        <v>0</v>
      </c>
      <c r="AB25" s="22"/>
      <c r="AC25" s="27"/>
    </row>
    <row r="26" spans="2:29" x14ac:dyDescent="0.45">
      <c r="B26" s="28" t="s">
        <v>34</v>
      </c>
      <c r="C26" s="25">
        <v>44.98</v>
      </c>
      <c r="D26" s="26">
        <v>44.98</v>
      </c>
      <c r="E26" s="27">
        <f t="shared" si="0"/>
        <v>0</v>
      </c>
      <c r="F26" s="21">
        <v>44.98</v>
      </c>
      <c r="G26" s="22"/>
      <c r="H26" s="23"/>
      <c r="I26" s="25">
        <v>44.98</v>
      </c>
      <c r="J26" s="22"/>
      <c r="K26" s="27"/>
      <c r="L26" s="25">
        <v>44.98</v>
      </c>
      <c r="M26" s="21"/>
      <c r="N26" s="27"/>
      <c r="O26" s="21">
        <v>44.98</v>
      </c>
      <c r="P26" s="22"/>
      <c r="Q26" s="23"/>
      <c r="R26" s="25">
        <v>44.96</v>
      </c>
      <c r="S26" s="22"/>
      <c r="T26" s="27"/>
      <c r="U26" s="25">
        <v>0</v>
      </c>
      <c r="V26" s="22"/>
      <c r="W26" s="27"/>
      <c r="X26" s="25">
        <v>0</v>
      </c>
      <c r="Y26" s="22"/>
      <c r="Z26" s="27"/>
      <c r="AA26" s="25">
        <v>0</v>
      </c>
      <c r="AB26" s="22"/>
      <c r="AC26" s="27"/>
    </row>
    <row r="27" spans="2:29" x14ac:dyDescent="0.45">
      <c r="B27" s="24" t="s">
        <v>35</v>
      </c>
      <c r="C27" s="25">
        <v>18.52</v>
      </c>
      <c r="D27" s="26">
        <v>18.52</v>
      </c>
      <c r="E27" s="27">
        <f t="shared" si="0"/>
        <v>0</v>
      </c>
      <c r="F27" s="21">
        <v>18.52</v>
      </c>
      <c r="G27" s="22"/>
      <c r="H27" s="23"/>
      <c r="I27" s="25">
        <v>18.510000000000002</v>
      </c>
      <c r="J27" s="22"/>
      <c r="K27" s="27"/>
      <c r="L27" s="25">
        <v>0</v>
      </c>
      <c r="M27" s="21"/>
      <c r="N27" s="27"/>
      <c r="O27" s="21">
        <v>0</v>
      </c>
      <c r="P27" s="22"/>
      <c r="Q27" s="23"/>
      <c r="R27" s="25">
        <v>0</v>
      </c>
      <c r="S27" s="22"/>
      <c r="T27" s="27"/>
      <c r="U27" s="25">
        <v>0</v>
      </c>
      <c r="V27" s="22"/>
      <c r="W27" s="27"/>
      <c r="X27" s="25">
        <v>0</v>
      </c>
      <c r="Y27" s="22"/>
      <c r="Z27" s="27"/>
      <c r="AA27" s="25">
        <v>0</v>
      </c>
      <c r="AB27" s="22"/>
      <c r="AC27" s="27"/>
    </row>
    <row r="28" spans="2:29" ht="14.65" thickBot="1" x14ac:dyDescent="0.5">
      <c r="B28" s="29" t="s">
        <v>36</v>
      </c>
      <c r="C28" s="25">
        <v>20.6</v>
      </c>
      <c r="D28" s="26">
        <v>20.6</v>
      </c>
      <c r="E28" s="27">
        <f t="shared" si="0"/>
        <v>0</v>
      </c>
      <c r="F28" s="21">
        <v>20.6</v>
      </c>
      <c r="G28" s="21"/>
      <c r="H28" s="26"/>
      <c r="I28" s="25">
        <v>20.6</v>
      </c>
      <c r="J28" s="22"/>
      <c r="K28" s="27"/>
      <c r="L28" s="25">
        <v>20.6</v>
      </c>
      <c r="M28" s="21"/>
      <c r="N28" s="30"/>
      <c r="O28" s="21">
        <v>20.59</v>
      </c>
      <c r="P28" s="21"/>
      <c r="Q28" s="26"/>
      <c r="R28" s="25">
        <v>0</v>
      </c>
      <c r="S28" s="22"/>
      <c r="T28" s="27"/>
      <c r="U28" s="25">
        <v>0</v>
      </c>
      <c r="V28" s="22"/>
      <c r="W28" s="27"/>
      <c r="X28" s="25">
        <v>0</v>
      </c>
      <c r="Y28" s="22"/>
      <c r="Z28" s="27"/>
      <c r="AA28" s="25">
        <v>0</v>
      </c>
      <c r="AB28" s="22"/>
      <c r="AC28" s="27"/>
    </row>
    <row r="29" spans="2:29" ht="14.65" thickBot="1" x14ac:dyDescent="0.5">
      <c r="B29" s="29" t="s">
        <v>37</v>
      </c>
      <c r="C29" s="31">
        <v>100</v>
      </c>
      <c r="D29" s="32">
        <f>16.35+12.35+52+10.15+34.2+24.48+7.99+0.97+7.5+11.17+62+9.49</f>
        <v>248.65</v>
      </c>
      <c r="E29" s="33">
        <f t="shared" si="0"/>
        <v>-148.65</v>
      </c>
      <c r="F29" s="32">
        <v>100</v>
      </c>
      <c r="G29" s="32"/>
      <c r="H29" s="32"/>
      <c r="I29" s="34">
        <v>100</v>
      </c>
      <c r="J29" s="35"/>
      <c r="K29" s="33"/>
      <c r="L29" s="31">
        <v>100</v>
      </c>
      <c r="M29" s="35"/>
      <c r="N29" s="36"/>
      <c r="O29" s="32">
        <v>100</v>
      </c>
      <c r="P29" s="35"/>
      <c r="Q29" s="32"/>
      <c r="R29" s="31">
        <v>100</v>
      </c>
      <c r="S29" s="32"/>
      <c r="T29" s="36"/>
      <c r="U29" s="31">
        <v>100</v>
      </c>
      <c r="V29" s="32"/>
      <c r="W29" s="36"/>
      <c r="X29" s="31">
        <v>100</v>
      </c>
      <c r="Y29" s="32"/>
      <c r="Z29" s="36"/>
      <c r="AA29" s="31">
        <v>100</v>
      </c>
      <c r="AB29" s="32"/>
      <c r="AC29" s="36"/>
    </row>
    <row r="30" spans="2:29" ht="14.65" thickBot="1" x14ac:dyDescent="0.5">
      <c r="B30" s="29" t="s">
        <v>38</v>
      </c>
      <c r="C30" s="37">
        <f>SUM(C4:C29)</f>
        <v>2221.64</v>
      </c>
      <c r="D30" s="38">
        <f t="shared" ref="D30:AC30" si="1">SUM(D4:D29)</f>
        <v>2377.2199999999998</v>
      </c>
      <c r="E30" s="39">
        <f t="shared" si="1"/>
        <v>-155.58000000000001</v>
      </c>
      <c r="F30" s="37">
        <f t="shared" si="1"/>
        <v>2181.56</v>
      </c>
      <c r="G30" s="38">
        <f t="shared" si="1"/>
        <v>0</v>
      </c>
      <c r="H30" s="39">
        <f t="shared" si="1"/>
        <v>0</v>
      </c>
      <c r="I30" s="37">
        <f t="shared" si="1"/>
        <v>2166.5500000000002</v>
      </c>
      <c r="J30" s="38">
        <f t="shared" si="1"/>
        <v>0</v>
      </c>
      <c r="K30" s="39">
        <f t="shared" si="1"/>
        <v>0</v>
      </c>
      <c r="L30" s="37">
        <f t="shared" si="1"/>
        <v>2203.0299999999997</v>
      </c>
      <c r="M30" s="38">
        <f t="shared" si="1"/>
        <v>0</v>
      </c>
      <c r="N30" s="39">
        <f t="shared" si="1"/>
        <v>0</v>
      </c>
      <c r="O30" s="37">
        <f t="shared" si="1"/>
        <v>1635.24</v>
      </c>
      <c r="P30" s="38">
        <f t="shared" si="1"/>
        <v>0</v>
      </c>
      <c r="Q30" s="39">
        <f t="shared" si="1"/>
        <v>0</v>
      </c>
      <c r="R30" s="37">
        <f t="shared" si="1"/>
        <v>1599.63</v>
      </c>
      <c r="S30" s="38">
        <f t="shared" si="1"/>
        <v>0</v>
      </c>
      <c r="T30" s="39">
        <f t="shared" si="1"/>
        <v>0</v>
      </c>
      <c r="U30" s="37">
        <f t="shared" si="1"/>
        <v>1609.75</v>
      </c>
      <c r="V30" s="38">
        <f t="shared" si="1"/>
        <v>0</v>
      </c>
      <c r="W30" s="39">
        <f t="shared" si="1"/>
        <v>0</v>
      </c>
      <c r="X30" s="37">
        <f t="shared" si="1"/>
        <v>1569.67</v>
      </c>
      <c r="Y30" s="38">
        <f t="shared" si="1"/>
        <v>0</v>
      </c>
      <c r="Z30" s="39">
        <f t="shared" si="1"/>
        <v>0</v>
      </c>
      <c r="AA30" s="37">
        <f t="shared" si="1"/>
        <v>1554.67</v>
      </c>
      <c r="AB30" s="38">
        <f t="shared" si="1"/>
        <v>0</v>
      </c>
      <c r="AC30" s="40">
        <f t="shared" si="1"/>
        <v>0</v>
      </c>
    </row>
  </sheetData>
  <mergeCells count="10">
    <mergeCell ref="R2:T2"/>
    <mergeCell ref="U2:W2"/>
    <mergeCell ref="X2:Z2"/>
    <mergeCell ref="AA2:AC2"/>
    <mergeCell ref="B2:B3"/>
    <mergeCell ref="C2:E2"/>
    <mergeCell ref="F2:H2"/>
    <mergeCell ref="I2:K2"/>
    <mergeCell ref="L2:N2"/>
    <mergeCell ref="O2:Q2"/>
  </mergeCells>
  <conditionalFormatting sqref="E4 H4:H30 K4:K30 N4:N30 Q4:Q30 T4:T30 W4:W30 Z4:Z30 AC4:AC30 E6:E9 E11:E19 E21 E23 E26:E28">
    <cfRule type="cellIs" dxfId="6" priority="1" operator="equal">
      <formula>0</formula>
    </cfRule>
  </conditionalFormatting>
  <conditionalFormatting sqref="H4:H30">
    <cfRule type="cellIs" dxfId="5" priority="2" operator="equal">
      <formula>0</formula>
    </cfRule>
    <cfRule type="cellIs" dxfId="4" priority="3" operator="lessThan">
      <formula>0</formula>
    </cfRule>
    <cfRule type="cellIs" dxfId="3" priority="4" operator="greaterThan">
      <formula>0</formula>
    </cfRule>
  </conditionalFormatting>
  <conditionalFormatting sqref="Z4:Z29 E4:E30 K4:K30 N4:N30 Q4:Q30 T4:T30 W4:W30 AC4:AC30">
    <cfRule type="cellIs" dxfId="2" priority="5" operator="equal">
      <formula>0</formula>
    </cfRule>
    <cfRule type="cellIs" dxfId="1" priority="6" operator="lessThan">
      <formula>0</formula>
    </cfRule>
    <cfRule type="cellIs" dxfId="0" priority="7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Abinash Satapathy</dc:creator>
  <cp:lastModifiedBy>Abinash Satapathy</cp:lastModifiedBy>
  <dcterms:created xsi:type="dcterms:W3CDTF">2015-06-05T18:19:34Z</dcterms:created>
  <dcterms:modified xsi:type="dcterms:W3CDTF">2026-04-17T19:48:51Z</dcterms:modified>
</cp:coreProperties>
</file>